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xecutive_Wave_Bridge" sheetId="1" r:id="rId1"/>
    <sheet name="2_Initiative_Matrix_HumanAPI" sheetId="2" r:id="rId2"/>
    <sheet name="3_BYOMCP_Audit_Log" sheetId="3" r:id="rId3"/>
  </sheets>
  <calcPr calcId="124519" fullCalcOnLoad="1"/>
</workbook>
</file>

<file path=xl/sharedStrings.xml><?xml version="1.0" encoding="utf-8"?>
<sst xmlns="http://schemas.openxmlformats.org/spreadsheetml/2006/main" count="112" uniqueCount="86">
  <si>
    <t>McKinsey &amp; Company | Thursday SteerCo Value-Realization Tracker</t>
  </si>
  <si>
    <t>Updated In-Place via @sharepoint-excel-inplace &amp; BYOMCP Fabric | Zero Variance Verified</t>
  </si>
  <si>
    <t>Roadmap Phase</t>
  </si>
  <si>
    <t>Strategic Focus</t>
  </si>
  <si>
    <t>Active Initiatives</t>
  </si>
  <si>
    <t>EBITDA (INR Cr)</t>
  </si>
  <si>
    <t>EBITDA ($M Agnostic)</t>
  </si>
  <si>
    <t>BYOMCP Source Connector</t>
  </si>
  <si>
    <t>FY25 Actuals</t>
  </si>
  <si>
    <t>Pilot Baseline</t>
  </si>
  <si>
    <t>@bigquery-plant-telemetry</t>
  </si>
  <si>
    <t>FY26 Wave 1</t>
  </si>
  <si>
    <t>Quick Wins</t>
  </si>
  <si>
    <t>@databricks-genie-ml</t>
  </si>
  <si>
    <t>FY27 Wave 2</t>
  </si>
  <si>
    <t>Core Plant Scale</t>
  </si>
  <si>
    <t>FY28 Wave 3</t>
  </si>
  <si>
    <t>Full Maturity</t>
  </si>
  <si>
    <t>@snowflake-erp-actuals</t>
  </si>
  <si>
    <t>3x3 Prioritization Matrix &amp; Thursday 'Human API' Workstream Sign-Off</t>
  </si>
  <si>
    <t>ID</t>
  </si>
  <si>
    <t>Initiative Name</t>
  </si>
  <si>
    <t>Transformation Pillar</t>
  </si>
  <si>
    <t>Impact Level</t>
  </si>
  <si>
    <t>Time to Impact</t>
  </si>
  <si>
    <t>Run-Rate (INR Cr)</t>
  </si>
  <si>
    <t>Run-Rate ($M)</t>
  </si>
  <si>
    <t>Workstream Lead</t>
  </si>
  <si>
    <t>Thursday Human API Status</t>
  </si>
  <si>
    <t>BSL-01</t>
  </si>
  <si>
    <t>Blast Furnace (BF-2/BF-5) AI Coke Rate &amp; Thermal Setpoint</t>
  </si>
  <si>
    <t>1. Primary Steelmaking</t>
  </si>
  <si>
    <t>HIGH</t>
  </si>
  <si>
    <t>SHORT (&lt; 6 Months)</t>
  </si>
  <si>
    <t>R. Sharma</t>
  </si>
  <si>
    <t>Synced</t>
  </si>
  <si>
    <t>BSL-02</t>
  </si>
  <si>
    <t>SMS-II BOF End-Point Temperature &amp; Ferro-Alloy Yield Twin</t>
  </si>
  <si>
    <t>P. Verma</t>
  </si>
  <si>
    <t>BSL-03</t>
  </si>
  <si>
    <t>Hot Strip Mill (HSM) Cobble Prevention &amp; Pacing AI</t>
  </si>
  <si>
    <t>2. Flat Products &amp; Rolling</t>
  </si>
  <si>
    <t>MEDIUM (6–15 Months)</t>
  </si>
  <si>
    <t>A. Kulkarni</t>
  </si>
  <si>
    <t>Synced (Auto-Chased via Teams MCP)</t>
  </si>
  <si>
    <t>BSL-04</t>
  </si>
  <si>
    <t>Integrated Mine-to-Sinter Blend Optimizer</t>
  </si>
  <si>
    <t>3. Captive Mines &amp; Energy</t>
  </si>
  <si>
    <t>S. Chatterjee</t>
  </si>
  <si>
    <t>BSL-05</t>
  </si>
  <si>
    <t>Autonomous Raw Material Yard &amp; Torpedo Ladle Twin</t>
  </si>
  <si>
    <t>LONG (15–24+ Months)</t>
  </si>
  <si>
    <t>M. Dasgupta</t>
  </si>
  <si>
    <t>BSL-06</t>
  </si>
  <si>
    <t xml:space="preserve"> Gas-Grid &amp; Captive Power Turbine Predictive Maintenance</t>
  </si>
  <si>
    <t>MEDIUM</t>
  </si>
  <si>
    <t>V. Nair</t>
  </si>
  <si>
    <t>BSL-07</t>
  </si>
  <si>
    <t>Computer Vision Strip Surface Defect Grading</t>
  </si>
  <si>
    <t>K. Iyer</t>
  </si>
  <si>
    <t>BSL-08</t>
  </si>
  <si>
    <t>Remaining 147 Plant, Logistics &amp; Commercial Tail Initiatives</t>
  </si>
  <si>
    <t>4. Digital Factory &amp; OT Core</t>
  </si>
  <si>
    <t>MEDIUM/LOW</t>
  </si>
  <si>
    <t>MEDIUM/LONG</t>
  </si>
  <si>
    <t>PMO Digital Factory</t>
  </si>
  <si>
    <t>TOTAL RUN-RATE (WAVE 3)</t>
  </si>
  <si>
    <t>BYOMCP Connector Telemetry &amp; Partner Memory Log</t>
  </si>
  <si>
    <t>Timestamp (UTC)</t>
  </si>
  <si>
    <t>MCP Server / Skill</t>
  </si>
  <si>
    <t>Action Executed</t>
  </si>
  <si>
    <t>Verification Status</t>
  </si>
  <si>
    <t>2026-10-20 14:40:00Z</t>
  </si>
  <si>
    <t>Queried BF-2, BF-5 &amp; SMS-II sensor tag actuals</t>
  </si>
  <si>
    <t>VERIFIED</t>
  </si>
  <si>
    <t>2026-10-20 14:41:12Z</t>
  </si>
  <si>
    <t>Fetched HSM cobble &amp; CV defect model predictions</t>
  </si>
  <si>
    <t>2026-10-20 14:42:05Z</t>
  </si>
  <si>
    <t>@slack-teams-human-api</t>
  </si>
  <si>
    <t>Auto-chased A. Kulkarni for Week 42 HSM actuals</t>
  </si>
  <si>
    <t>2026-10-20 14:43:30Z</t>
  </si>
  <si>
    <t>@sharepoint-excel-inplace</t>
  </si>
  <si>
    <t>Updated McKinsey_Thursday_Value_Tracker.xlsx in-place</t>
  </si>
  <si>
    <t>2026-10-20 14:44:10Z</t>
  </si>
  <si>
    <t>skill:mckinsey-slide-creator</t>
  </si>
  <si>
    <t>Compiled 6-slide SteerCo PowerPoint readout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</si>
</sst>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5"/>
      <color rgb="FFFFFFFF"/>
      <name val="Georgia"/>
      <family val="2"/>
    </font>
    <font>
      <i/>
      <sz val="10"/>
      <color rgb="FFA2D5EC"/>
      <name val="Arial"/>
      <family val="2"/>
    </font>
    <font>
      <b/>
      <sz val="10"/>
      <color rgb="FFFFFFFF"/>
      <name val="Arial"/>
      <family val="2"/>
    </font>
    <font>
      <sz val="10"/>
      <color rgb="FF051C2C"/>
      <name val="Arial"/>
      <family val="2"/>
    </font>
    <font>
      <b/>
      <sz val="10"/>
      <color rgb="FF051C2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51C2C"/>
        <bgColor indexed="64"/>
      </patternFill>
    </fill>
    <fill>
      <patternFill patternType="solid">
        <fgColor rgb="FF061F3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A2D5EC"/>
      </left>
      <right style="thin">
        <color rgb="FFA2D5EC"/>
      </right>
      <top style="thin">
        <color rgb="FFA2D5EC"/>
      </top>
      <bottom style="thin">
        <color rgb="FFA2D5E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/>
    <xf numFmtId="164" fontId="5" fillId="5" borderId="2" xfId="0" applyNumberFormat="1" applyFont="1" applyFill="1" applyBorder="1"/>
    <xf numFmtId="0" fontId="3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9"/>
  <sheetViews>
    <sheetView showGridLines="0" tabSelected="1" workbookViewId="0"/>
  </sheetViews>
  <sheetFormatPr defaultRowHeight="15"/>
  <cols>
    <col min="1" max="1" width="3.7109375" customWidth="1"/>
    <col min="2" max="3" width="26.7109375" customWidth="1"/>
    <col min="4" max="7" width="20.7109375" customWidth="1"/>
  </cols>
  <sheetData>
    <row r="2" spans="2:7" ht="28" customHeight="1">
      <c r="B2" s="1" t="s">
        <v>0</v>
      </c>
      <c r="C2" s="1"/>
      <c r="D2" s="1"/>
      <c r="E2" s="1"/>
      <c r="F2" s="1"/>
      <c r="G2" s="1"/>
    </row>
    <row r="3" spans="2:7" ht="20" customHeight="1">
      <c r="B3" s="2" t="s">
        <v>1</v>
      </c>
      <c r="C3" s="2"/>
      <c r="D3" s="2"/>
      <c r="E3" s="2"/>
      <c r="F3" s="2"/>
      <c r="G3" s="2"/>
    </row>
    <row r="5" spans="2:7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>
      <c r="B6" s="4" t="s">
        <v>8</v>
      </c>
      <c r="C6" s="4" t="s">
        <v>9</v>
      </c>
      <c r="D6" s="4">
        <v>12</v>
      </c>
      <c r="E6" s="5">
        <v>180</v>
      </c>
      <c r="F6" s="5">
        <v>22</v>
      </c>
      <c r="G6" s="4" t="s">
        <v>10</v>
      </c>
    </row>
    <row r="7" spans="2:7">
      <c r="B7" s="4" t="s">
        <v>11</v>
      </c>
      <c r="C7" s="4" t="s">
        <v>12</v>
      </c>
      <c r="D7" s="4">
        <v>45</v>
      </c>
      <c r="E7" s="5">
        <v>490</v>
      </c>
      <c r="F7" s="5">
        <v>59</v>
      </c>
      <c r="G7" s="4" t="s">
        <v>13</v>
      </c>
    </row>
    <row r="8" spans="2:7">
      <c r="B8" s="4" t="s">
        <v>14</v>
      </c>
      <c r="C8" s="4" t="s">
        <v>15</v>
      </c>
      <c r="D8" s="4">
        <v>65</v>
      </c>
      <c r="E8" s="5">
        <v>920</v>
      </c>
      <c r="F8" s="5">
        <v>111</v>
      </c>
      <c r="G8" s="4" t="s">
        <v>13</v>
      </c>
    </row>
    <row r="9" spans="2:7">
      <c r="B9" s="4" t="s">
        <v>16</v>
      </c>
      <c r="C9" s="4" t="s">
        <v>17</v>
      </c>
      <c r="D9" s="4">
        <v>154</v>
      </c>
      <c r="E9" s="5">
        <v>1310</v>
      </c>
      <c r="F9" s="5">
        <v>158</v>
      </c>
      <c r="G9" s="4" t="s">
        <v>18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13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3" width="44.7109375" customWidth="1"/>
    <col min="4" max="6" width="22.7109375" customWidth="1"/>
    <col min="7" max="8" width="18.7109375" customWidth="1"/>
    <col min="9" max="10" width="28.7109375" customWidth="1"/>
  </cols>
  <sheetData>
    <row r="2" spans="2:10" ht="28" customHeight="1">
      <c r="B2" s="1" t="s">
        <v>19</v>
      </c>
      <c r="C2" s="1"/>
      <c r="D2" s="1"/>
      <c r="E2" s="1"/>
      <c r="F2" s="1"/>
      <c r="G2" s="1"/>
      <c r="H2" s="1"/>
      <c r="I2" s="1"/>
      <c r="J2" s="1"/>
    </row>
    <row r="4" spans="2:10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spans="2:10"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5">
        <v>240</v>
      </c>
      <c r="H5" s="5">
        <v>29</v>
      </c>
      <c r="I5" s="4" t="s">
        <v>34</v>
      </c>
      <c r="J5" s="6" t="s">
        <v>35</v>
      </c>
    </row>
    <row r="6" spans="2:10">
      <c r="B6" s="4" t="s">
        <v>36</v>
      </c>
      <c r="C6" s="4" t="s">
        <v>37</v>
      </c>
      <c r="D6" s="4" t="s">
        <v>31</v>
      </c>
      <c r="E6" s="4" t="s">
        <v>32</v>
      </c>
      <c r="F6" s="4" t="s">
        <v>33</v>
      </c>
      <c r="G6" s="5">
        <v>165</v>
      </c>
      <c r="H6" s="5">
        <v>20</v>
      </c>
      <c r="I6" s="4" t="s">
        <v>38</v>
      </c>
      <c r="J6" s="6" t="s">
        <v>35</v>
      </c>
    </row>
    <row r="7" spans="2:10">
      <c r="B7" s="4" t="s">
        <v>39</v>
      </c>
      <c r="C7" s="4" t="s">
        <v>40</v>
      </c>
      <c r="D7" s="4" t="s">
        <v>41</v>
      </c>
      <c r="E7" s="4" t="s">
        <v>32</v>
      </c>
      <c r="F7" s="4" t="s">
        <v>42</v>
      </c>
      <c r="G7" s="5">
        <v>190</v>
      </c>
      <c r="H7" s="5">
        <v>23</v>
      </c>
      <c r="I7" s="4" t="s">
        <v>43</v>
      </c>
      <c r="J7" s="6" t="s">
        <v>44</v>
      </c>
    </row>
    <row r="8" spans="2:10">
      <c r="B8" s="4" t="s">
        <v>45</v>
      </c>
      <c r="C8" s="4" t="s">
        <v>46</v>
      </c>
      <c r="D8" s="4" t="s">
        <v>47</v>
      </c>
      <c r="E8" s="4" t="s">
        <v>32</v>
      </c>
      <c r="F8" s="4" t="s">
        <v>42</v>
      </c>
      <c r="G8" s="5">
        <v>145</v>
      </c>
      <c r="H8" s="5">
        <v>18</v>
      </c>
      <c r="I8" s="4" t="s">
        <v>48</v>
      </c>
      <c r="J8" s="6" t="s">
        <v>35</v>
      </c>
    </row>
    <row r="9" spans="2:10">
      <c r="B9" s="4" t="s">
        <v>49</v>
      </c>
      <c r="C9" s="4" t="s">
        <v>50</v>
      </c>
      <c r="D9" s="4" t="s">
        <v>47</v>
      </c>
      <c r="E9" s="4" t="s">
        <v>32</v>
      </c>
      <c r="F9" s="4" t="s">
        <v>51</v>
      </c>
      <c r="G9" s="5">
        <v>130</v>
      </c>
      <c r="H9" s="5">
        <v>16</v>
      </c>
      <c r="I9" s="4" t="s">
        <v>52</v>
      </c>
      <c r="J9" s="6" t="s">
        <v>35</v>
      </c>
    </row>
    <row r="10" spans="2:10">
      <c r="B10" s="4" t="s">
        <v>53</v>
      </c>
      <c r="C10" s="4" t="s">
        <v>54</v>
      </c>
      <c r="D10" s="4" t="s">
        <v>47</v>
      </c>
      <c r="E10" s="4" t="s">
        <v>55</v>
      </c>
      <c r="F10" s="4" t="s">
        <v>33</v>
      </c>
      <c r="G10" s="5">
        <v>85</v>
      </c>
      <c r="H10" s="5">
        <v>10</v>
      </c>
      <c r="I10" s="4" t="s">
        <v>56</v>
      </c>
      <c r="J10" s="6" t="s">
        <v>35</v>
      </c>
    </row>
    <row r="11" spans="2:10">
      <c r="B11" s="4" t="s">
        <v>57</v>
      </c>
      <c r="C11" s="4" t="s">
        <v>58</v>
      </c>
      <c r="D11" s="4" t="s">
        <v>41</v>
      </c>
      <c r="E11" s="4" t="s">
        <v>55</v>
      </c>
      <c r="F11" s="4" t="s">
        <v>42</v>
      </c>
      <c r="G11" s="5">
        <v>90</v>
      </c>
      <c r="H11" s="5">
        <v>11</v>
      </c>
      <c r="I11" s="4" t="s">
        <v>59</v>
      </c>
      <c r="J11" s="6" t="s">
        <v>35</v>
      </c>
    </row>
    <row r="12" spans="2:10"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5">
        <v>265</v>
      </c>
      <c r="H12" s="5">
        <v>31</v>
      </c>
      <c r="I12" s="4" t="s">
        <v>65</v>
      </c>
      <c r="J12" s="6" t="s">
        <v>35</v>
      </c>
    </row>
    <row r="13" spans="2:10">
      <c r="F13" s="3" t="s">
        <v>66</v>
      </c>
      <c r="G13" s="5">
        <f>SUM(G5:G12)</f>
        <v>1310</v>
      </c>
      <c r="H13" s="5">
        <f>SUM(H5:H12)</f>
        <v>158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E9"/>
  <sheetViews>
    <sheetView showGridLines="0" workbookViewId="0"/>
  </sheetViews>
  <sheetFormatPr defaultRowHeight="15"/>
  <cols>
    <col min="2" max="5" width="30.7109375" customWidth="1"/>
  </cols>
  <sheetData>
    <row r="2" spans="2:5">
      <c r="B2" s="1" t="s">
        <v>67</v>
      </c>
      <c r="C2" s="1"/>
      <c r="D2" s="1"/>
      <c r="E2" s="1"/>
    </row>
    <row r="4" spans="2:5">
      <c r="B4" s="3" t="s">
        <v>68</v>
      </c>
      <c r="C4" s="3" t="s">
        <v>69</v>
      </c>
      <c r="D4" s="3" t="s">
        <v>70</v>
      </c>
      <c r="E4" s="3" t="s">
        <v>71</v>
      </c>
    </row>
    <row r="5" spans="2:5">
      <c r="B5" s="4" t="s">
        <v>72</v>
      </c>
      <c r="C5" s="4" t="s">
        <v>10</v>
      </c>
      <c r="D5" s="4" t="s">
        <v>73</v>
      </c>
      <c r="E5" s="6" t="s">
        <v>74</v>
      </c>
    </row>
    <row r="6" spans="2:5">
      <c r="B6" s="4" t="s">
        <v>75</v>
      </c>
      <c r="C6" s="4" t="s">
        <v>13</v>
      </c>
      <c r="D6" s="4" t="s">
        <v>76</v>
      </c>
      <c r="E6" s="6" t="s">
        <v>74</v>
      </c>
    </row>
    <row r="7" spans="2:5">
      <c r="B7" s="4" t="s">
        <v>77</v>
      </c>
      <c r="C7" s="4" t="s">
        <v>78</v>
      </c>
      <c r="D7" s="4" t="s">
        <v>79</v>
      </c>
      <c r="E7" s="6" t="s">
        <v>74</v>
      </c>
    </row>
    <row r="8" spans="2:5">
      <c r="B8" s="4" t="s">
        <v>80</v>
      </c>
      <c r="C8" s="4" t="s">
        <v>81</v>
      </c>
      <c r="D8" s="4" t="s">
        <v>82</v>
      </c>
      <c r="E8" s="6" t="s">
        <v>74</v>
      </c>
    </row>
    <row r="9" spans="2:5">
      <c r="B9" s="4" t="s">
        <v>83</v>
      </c>
      <c r="C9" s="4" t="s">
        <v>84</v>
      </c>
      <c r="D9" s="4" t="s">
        <v>85</v>
      </c>
      <c r="E9" s="6" t="s">
        <v>74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1_Executive_Wave_Bridge</vt:lpstr>
      <vt:lpstr>2_Initiative_Matrix_HumanAPI</vt:lpstr>
      <vt:lpstr>3_BYOMCP_Audit_Log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2026-10-21T01:59:47Z</dcterms:created>
  <dcterms:modified xsi:type="dcterms:W3CDTF">2026-10-21T01:59:47Z</dcterms:modified>
</cp:coreProperties>
</file>